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ссортимент" sheetId="1" state="visible" r:id="rId3"/>
    <sheet name="Итоги" sheetId="2" state="visible" r:id="rId4"/>
  </sheets>
  <definedNames>
    <definedName function="false" hidden="false" localSheetId="0" name="_xlnm.Print_Titles" vbProcedure="false">Ассортимент!$4:$4</definedName>
    <definedName function="false" hidden="true" localSheetId="0" name="_xlnm._FilterDatabase" vbProcedure="false">Ассортимент!$A$4:$J$98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<sst xmlns="http://schemas.openxmlformats.org/spreadsheetml/2006/main" count="329" uniqueCount="201">
  <si>
    <t xml:space="preserve">Ассортимент склада тортов</t>
  </si>
  <si>
    <t xml:space="preserve">Источник: заявки клиента от 17.10.2026 (12 фото, маршруты 2 и 3). Жёлтые колонки — заполнить: артикул, срок годности, минимальный остаток. Колонка «Проверить» — что было плохо видно на фото.</t>
  </si>
  <si>
    <t xml:space="preserve">№</t>
  </si>
  <si>
    <t xml:space="preserve">Категория</t>
  </si>
  <si>
    <t xml:space="preserve">Наименование</t>
  </si>
  <si>
    <t xml:space="preserve">Как в заявке</t>
  </si>
  <si>
    <t xml:space="preserve">Вес единицы, кг</t>
  </si>
  <si>
    <t xml:space="preserve">Весовой</t>
  </si>
  <si>
    <t xml:space="preserve">Артикул</t>
  </si>
  <si>
    <t xml:space="preserve">Срок годности, сут</t>
  </si>
  <si>
    <t xml:space="preserve">Мин. остаток, шт</t>
  </si>
  <si>
    <t xml:space="preserve">Проверить</t>
  </si>
  <si>
    <t xml:space="preserve">Торт</t>
  </si>
  <si>
    <t xml:space="preserve">Муравейка</t>
  </si>
  <si>
    <t xml:space="preserve">Торт «Муравейка» 550 г</t>
  </si>
  <si>
    <t xml:space="preserve">Грильяжный</t>
  </si>
  <si>
    <t xml:space="preserve">Торт «Грильяжный» 800 г</t>
  </si>
  <si>
    <t xml:space="preserve">Встречается как бонус в заявке Белвиллесден</t>
  </si>
  <si>
    <t xml:space="preserve">Домашний</t>
  </si>
  <si>
    <t xml:space="preserve">Торт «Домашний» 850 г</t>
  </si>
  <si>
    <t xml:space="preserve">Йогуртовый с персиком</t>
  </si>
  <si>
    <t xml:space="preserve">Торт «Йогуртовый с персиком» 950 г</t>
  </si>
  <si>
    <t xml:space="preserve">Лесная ягодка</t>
  </si>
  <si>
    <t xml:space="preserve">Торт «Лесная ягодка» 1 кг</t>
  </si>
  <si>
    <t xml:space="preserve">Лаванда</t>
  </si>
  <si>
    <t xml:space="preserve">Торт «Лаванда» 850 г</t>
  </si>
  <si>
    <t xml:space="preserve">Наполеон домашний</t>
  </si>
  <si>
    <t xml:space="preserve">Торт «Наполеон домашний» 1 кг</t>
  </si>
  <si>
    <t xml:space="preserve">Панчо</t>
  </si>
  <si>
    <t xml:space="preserve">Торт «Панчо» 1 кг</t>
  </si>
  <si>
    <t xml:space="preserve">Полесье</t>
  </si>
  <si>
    <t xml:space="preserve">Торт «Полесье» 1 кг</t>
  </si>
  <si>
    <t xml:space="preserve">Смородинка</t>
  </si>
  <si>
    <t xml:space="preserve">Торт «Смородинка» 850 г</t>
  </si>
  <si>
    <t xml:space="preserve">Торт «Смородинка» 1,3 кг</t>
  </si>
  <si>
    <t xml:space="preserve">да</t>
  </si>
  <si>
    <t xml:space="preserve">Съешь меня карамельный</t>
  </si>
  <si>
    <t xml:space="preserve">Торт «Съешь меня карамельный» 500 г</t>
  </si>
  <si>
    <t xml:space="preserve">Торт «Съешь меня карамельный» 950 г</t>
  </si>
  <si>
    <t xml:space="preserve">Съешь меня трюфельный</t>
  </si>
  <si>
    <t xml:space="preserve">Торт «Съешь меня трюфельный» 500 г</t>
  </si>
  <si>
    <t xml:space="preserve">Творожный «Фруктовый»</t>
  </si>
  <si>
    <t xml:space="preserve">Торт Творожный «Фруктовый» 950 г</t>
  </si>
  <si>
    <t xml:space="preserve">Творожный «Бруснично-грушевый»</t>
  </si>
  <si>
    <t xml:space="preserve">Торт Творожный «Бруснично-грушевый» 1 кг</t>
  </si>
  <si>
    <t xml:space="preserve">На бумаге «Брусинчно» — сверить</t>
  </si>
  <si>
    <t xml:space="preserve">Творожный «Блуберри»</t>
  </si>
  <si>
    <t xml:space="preserve">Торт Творожный «Блуберри» 1 кг</t>
  </si>
  <si>
    <t xml:space="preserve">Юбилейный</t>
  </si>
  <si>
    <t xml:space="preserve">Торт «Юбилейный» 1 кг</t>
  </si>
  <si>
    <t xml:space="preserve">Вкус наслаждения</t>
  </si>
  <si>
    <t xml:space="preserve">Торт «Вкус наслаждения» 500 г</t>
  </si>
  <si>
    <t xml:space="preserve">Трюфельный</t>
  </si>
  <si>
    <t xml:space="preserve">Торт «Трюфельный» 1,5 кг</t>
  </si>
  <si>
    <t xml:space="preserve">Царское удовольствие</t>
  </si>
  <si>
    <t xml:space="preserve">Торт «Царское удовольствие» 900 г</t>
  </si>
  <si>
    <t xml:space="preserve">Какао-пломбир</t>
  </si>
  <si>
    <t xml:space="preserve">Торт «Какао-пломбир» 900 г</t>
  </si>
  <si>
    <t xml:space="preserve">Шокобанан</t>
  </si>
  <si>
    <t xml:space="preserve">Торт «Шокобанан» 1 кг</t>
  </si>
  <si>
    <t xml:space="preserve">Вкусненький</t>
  </si>
  <si>
    <t xml:space="preserve">Торт «Вкусненький» 1 кг</t>
  </si>
  <si>
    <t xml:space="preserve">Пражский</t>
  </si>
  <si>
    <t xml:space="preserve">Торт «Пражский» 1 кг</t>
  </si>
  <si>
    <t xml:space="preserve">Санкт-Петербург</t>
  </si>
  <si>
    <t xml:space="preserve">Торт «Санкт-Петербург» 1 кг</t>
  </si>
  <si>
    <t xml:space="preserve">Торт «Санкт-Петербург» 2 кг</t>
  </si>
  <si>
    <t xml:space="preserve">Ассорти «Трио»</t>
  </si>
  <si>
    <t xml:space="preserve">Торт Ассорти «Трио» 2 кг</t>
  </si>
  <si>
    <t xml:space="preserve">Дамские пальчики</t>
  </si>
  <si>
    <t xml:space="preserve">Торт «Дамские пальчики» 1 кг</t>
  </si>
  <si>
    <t xml:space="preserve">Клубника-банан</t>
  </si>
  <si>
    <t xml:space="preserve">Торт «Клубника-банан» 850 г</t>
  </si>
  <si>
    <t xml:space="preserve">Крещатик</t>
  </si>
  <si>
    <t xml:space="preserve">Торт «Крещатик» 1 кг</t>
  </si>
  <si>
    <t xml:space="preserve">Кучерявый</t>
  </si>
  <si>
    <t xml:space="preserve">Торт «Кучерявый» 1 кг</t>
  </si>
  <si>
    <t xml:space="preserve">Торт «Кучерявый» 1,5 кг</t>
  </si>
  <si>
    <t xml:space="preserve">Лакомка</t>
  </si>
  <si>
    <t xml:space="preserve">Торт «Лакомка» 900 г</t>
  </si>
  <si>
    <t xml:space="preserve">Экзотик</t>
  </si>
  <si>
    <t xml:space="preserve">Торт «Экзотик» 1,5 кг</t>
  </si>
  <si>
    <t xml:space="preserve">В заявке вес места 1,0 кг при названии 1,5 кг — сверить</t>
  </si>
  <si>
    <t xml:space="preserve">Баунти</t>
  </si>
  <si>
    <t xml:space="preserve">Торт «Баунти» 1 кг</t>
  </si>
  <si>
    <t xml:space="preserve">Вишня в шоколаде</t>
  </si>
  <si>
    <t xml:space="preserve">Торт «Вишня в шоколаде» 1 кг</t>
  </si>
  <si>
    <t xml:space="preserve">Венский десерт</t>
  </si>
  <si>
    <t xml:space="preserve">Клубника, ананас</t>
  </si>
  <si>
    <t xml:space="preserve">Торт Венский десерт «КЛУБНИКА, АНАНАС» 620 г</t>
  </si>
  <si>
    <t xml:space="preserve">Вишня в коньяке</t>
  </si>
  <si>
    <t xml:space="preserve">Торт Венский десерт «ВИШНЯ В КОНЬЯКЕ» 620 г</t>
  </si>
  <si>
    <t xml:space="preserve">Клубничный</t>
  </si>
  <si>
    <t xml:space="preserve">Торт Венский десерт «КЛУБНИЧНЫЙ» 620 г</t>
  </si>
  <si>
    <t xml:space="preserve">Голубичный</t>
  </si>
  <si>
    <t xml:space="preserve">Торт Венский десерт «ГОЛУБИЧНЫЙ» 600 г</t>
  </si>
  <si>
    <t xml:space="preserve">Ягодная поляна</t>
  </si>
  <si>
    <t xml:space="preserve">Торт Венский десерт «ЯГОДНАЯ ПОЛЯНА» 600 г</t>
  </si>
  <si>
    <t xml:space="preserve">Киви, персик</t>
  </si>
  <si>
    <t xml:space="preserve">Торт Венский десерт «КИВИ, ПЕРСИК» 600 г</t>
  </si>
  <si>
    <t xml:space="preserve">Вишня, малина, ежевика, голубика</t>
  </si>
  <si>
    <t xml:space="preserve">Торт Венский десерт «ВИШНЯ, МАЛИНА, ЕЖЕВИКА, ГОЛУБИКА» 600 г</t>
  </si>
  <si>
    <t xml:space="preserve">Голубика, ежевика, малина</t>
  </si>
  <si>
    <t xml:space="preserve">Торт Венский десерт «ГОЛУБИКА, ЕЖЕВИКА, МАЛИНА» 600 г</t>
  </si>
  <si>
    <t xml:space="preserve">Манго, папайя</t>
  </si>
  <si>
    <t xml:space="preserve">Торт Венский десерт «МАНГО, ПАПАЙЯ» 620 г</t>
  </si>
  <si>
    <t xml:space="preserve">Тропический</t>
  </si>
  <si>
    <t xml:space="preserve">Торт Венский десерт «ТРОПИЧЕСКИЙ» 620 г</t>
  </si>
  <si>
    <t xml:space="preserve">Фруктовый коктейль</t>
  </si>
  <si>
    <t xml:space="preserve">Торт Венский десерт «ФРУКТОВЫЙ КОКТЕЙЛЬ» 620 г</t>
  </si>
  <si>
    <t xml:space="preserve">Пирожное</t>
  </si>
  <si>
    <t xml:space="preserve">Картошка с натур. сгущ.</t>
  </si>
  <si>
    <t xml:space="preserve">Пирожное «Картошка с натур. сгущ.» 390 г</t>
  </si>
  <si>
    <t xml:space="preserve">Картошка</t>
  </si>
  <si>
    <t xml:space="preserve">Пирожное «Картошка» 360 г</t>
  </si>
  <si>
    <t xml:space="preserve">Фисташковое</t>
  </si>
  <si>
    <t xml:space="preserve">Пирожное «Фисташковое» 470 г</t>
  </si>
  <si>
    <t xml:space="preserve">Шоколадно-банановое</t>
  </si>
  <si>
    <t xml:space="preserve">Пирожное «Шоколадно-банановое» 360 г</t>
  </si>
  <si>
    <t xml:space="preserve">Пирожное «Муравейка» 450 г</t>
  </si>
  <si>
    <t xml:space="preserve">Пражское</t>
  </si>
  <si>
    <t xml:space="preserve">Пирожное «Пражское» 360 г</t>
  </si>
  <si>
    <t xml:space="preserve">Эклер на сливочном масле</t>
  </si>
  <si>
    <t xml:space="preserve">Пирожное «Эклер на сливочном масле» 250 г</t>
  </si>
  <si>
    <t xml:space="preserve">Клубника-маракуйя</t>
  </si>
  <si>
    <t xml:space="preserve">Пирожное «Клубника-маракуйя» 360 г</t>
  </si>
  <si>
    <t xml:space="preserve">Пирожное «Лакомка» 420 г</t>
  </si>
  <si>
    <t xml:space="preserve">Пломбир в шоколаде</t>
  </si>
  <si>
    <t xml:space="preserve">Пирожное «Пломбир в шоколаде» 250 г</t>
  </si>
  <si>
    <t xml:space="preserve">Кольцо творожное, заварное</t>
  </si>
  <si>
    <t xml:space="preserve">Пирожное «Кольцо творожное, заварное» 250 г</t>
  </si>
  <si>
    <t xml:space="preserve">В заявке: «Пирожное заварное „Кольцо творожное“ 250г»</t>
  </si>
  <si>
    <t xml:space="preserve">Кольцо заварное сметанное</t>
  </si>
  <si>
    <t xml:space="preserve">Пирожное «Кольцо заварное сметанное» 250 г</t>
  </si>
  <si>
    <t xml:space="preserve">Заварное с варёной сгущёнкой</t>
  </si>
  <si>
    <t xml:space="preserve">Пирожное «Заварное с варёной сгущёнкой» 265 г</t>
  </si>
  <si>
    <t xml:space="preserve">Клубничное наслаждение</t>
  </si>
  <si>
    <t xml:space="preserve">Пирожное «Клубничное наслаждение» 380 г</t>
  </si>
  <si>
    <t xml:space="preserve">Юмбрик творожный</t>
  </si>
  <si>
    <t xml:space="preserve">Пирожное «Юмбрик творожный» 240 г</t>
  </si>
  <si>
    <t xml:space="preserve">Пирожное «Лаванда» 470 г</t>
  </si>
  <si>
    <t xml:space="preserve">Эклер заварной</t>
  </si>
  <si>
    <t xml:space="preserve">Пирожное «Эклер заварной» 75 г</t>
  </si>
  <si>
    <t xml:space="preserve">Эклер творожный</t>
  </si>
  <si>
    <t xml:space="preserve">Пирожное «Эклер творожный» 75 г</t>
  </si>
  <si>
    <t xml:space="preserve">Ёж ореховый</t>
  </si>
  <si>
    <t xml:space="preserve">Пирожное «Ёж ореховый» 80 г</t>
  </si>
  <si>
    <t xml:space="preserve">Медок</t>
  </si>
  <si>
    <t xml:space="preserve">Пирожное «Медок» 75 г</t>
  </si>
  <si>
    <t xml:space="preserve">Рафаэлка</t>
  </si>
  <si>
    <t xml:space="preserve">Пирожное «Рафаэлка» 50 г</t>
  </si>
  <si>
    <t xml:space="preserve">Набор пирожных</t>
  </si>
  <si>
    <t xml:space="preserve">Набор пирожных «Рафаэлка» 200 г</t>
  </si>
  <si>
    <t xml:space="preserve">Набор пирожных «Эклер творожный» 300 г</t>
  </si>
  <si>
    <t xml:space="preserve">Набор пирожных «Эклер заварной» 300 г</t>
  </si>
  <si>
    <t xml:space="preserve">Набор пирожных «Медок» 300 г</t>
  </si>
  <si>
    <t xml:space="preserve">Набор пирожных «Ёж ореховый» 400 г</t>
  </si>
  <si>
    <t xml:space="preserve">Набор пирожных «Царское удовольствие» 250 г</t>
  </si>
  <si>
    <t xml:space="preserve">Царское удовольствие с орехом</t>
  </si>
  <si>
    <t xml:space="preserve">Набор пирожных «Царское удовольствие с орехом» 250 г</t>
  </si>
  <si>
    <t xml:space="preserve">Наполеон</t>
  </si>
  <si>
    <t xml:space="preserve">Набор пирожных «Наполеон» 225 г</t>
  </si>
  <si>
    <t xml:space="preserve">Набор пирожных «Вишня в шоколаде» 340 г</t>
  </si>
  <si>
    <t xml:space="preserve">Honey Бум нутелла</t>
  </si>
  <si>
    <t xml:space="preserve">Набор пирожных «Honey Бум нутелла» 310 г</t>
  </si>
  <si>
    <t xml:space="preserve">Написание «Honey Бум» — сверить</t>
  </si>
  <si>
    <t xml:space="preserve">Honey Бум солёная карамель</t>
  </si>
  <si>
    <t xml:space="preserve">Набор пирожных «Honey Бум солёная карамель» 310 г</t>
  </si>
  <si>
    <t xml:space="preserve">Honey Бум фисташка</t>
  </si>
  <si>
    <t xml:space="preserve">Набор пирожных «Honey Бум фисташка» 310 г</t>
  </si>
  <si>
    <t xml:space="preserve">Заварные пирожные</t>
  </si>
  <si>
    <t xml:space="preserve">Набор пирожных «Заварные пирожные» 256 г</t>
  </si>
  <si>
    <t xml:space="preserve">В заявке: «Набор заварных пирожных 256г»</t>
  </si>
  <si>
    <t xml:space="preserve">Сладости мучные</t>
  </si>
  <si>
    <t xml:space="preserve">Птичье молоко фрукт ассорти</t>
  </si>
  <si>
    <t xml:space="preserve">Сладости мучные «Птичье молоко фрукт ассорти» 350 г</t>
  </si>
  <si>
    <t xml:space="preserve">Птичье молоко</t>
  </si>
  <si>
    <t xml:space="preserve">Сладости мучные «Птичье молоко» 500 г</t>
  </si>
  <si>
    <t xml:space="preserve">Эстерхази</t>
  </si>
  <si>
    <t xml:space="preserve">Сладости мучные «Эстерхази» 850 г</t>
  </si>
  <si>
    <t xml:space="preserve">Сладости мучные «Эстерхази» 425 г</t>
  </si>
  <si>
    <t xml:space="preserve">Сникерс</t>
  </si>
  <si>
    <t xml:space="preserve">Сладости мучные «Сникерс» 800 г</t>
  </si>
  <si>
    <t xml:space="preserve">Сладости мучные «Сникерс» 400 г</t>
  </si>
  <si>
    <t xml:space="preserve">Сказка</t>
  </si>
  <si>
    <t xml:space="preserve">Сладости мучные «Сказка» 650 г</t>
  </si>
  <si>
    <t xml:space="preserve">Сластена</t>
  </si>
  <si>
    <t xml:space="preserve">Сладости мучные «Сластена» 800 г</t>
  </si>
  <si>
    <t xml:space="preserve">Маффин шоколадный</t>
  </si>
  <si>
    <t xml:space="preserve">Сладости мучные «Маффин шоколадный» 70 г</t>
  </si>
  <si>
    <t xml:space="preserve">Вафельная трубочка с вар. сгущ.</t>
  </si>
  <si>
    <t xml:space="preserve">Сладости мучные «Вафельная трубочка с вар. сгущ.» 65 г</t>
  </si>
  <si>
    <t xml:space="preserve">Рулет бисквитный «Мохито»</t>
  </si>
  <si>
    <t xml:space="preserve">Сладости мучные Рулет бисквитный «Мохито» 500 г</t>
  </si>
  <si>
    <t xml:space="preserve">Рулет бисквитный «Нежная лаванда»</t>
  </si>
  <si>
    <t xml:space="preserve">Сладости мучные Рулет бисквитный «Нежная лаванда» 500 г</t>
  </si>
  <si>
    <t xml:space="preserve">Итоги по категориям</t>
  </si>
  <si>
    <t xml:space="preserve">Позиций</t>
  </si>
  <si>
    <t xml:space="preserve">Из них весовых</t>
  </si>
  <si>
    <t xml:space="preserve">Без артикула</t>
  </si>
  <si>
    <t xml:space="preserve">Всего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</si>
</sst>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E5A5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B06A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3264E"/>
        <bgColor rgb="FF993366"/>
      </patternFill>
    </fill>
    <fill>
      <patternFill patternType="solid">
        <fgColor rgb="FFF0E7DC"/>
        <bgColor rgb="FFFFF5BF"/>
      </patternFill>
    </fill>
    <fill>
      <patternFill patternType="solid">
        <fgColor rgb="FFFFF5BF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8B6"/>
      </left>
      <right style="thin">
        <color rgb="FFD9C8B6"/>
      </right>
      <top style="thin">
        <color rgb="FFD9C8B6"/>
      </top>
      <bottom style="thin">
        <color rgb="FFD9C8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B326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0E7DC"/>
          <bgColor rgb="FF000000"/>
        </patternFill>
      </fill>
    </dxf>
    <dxf>
      <fill>
        <patternFill patternType="solid">
          <fgColor rgb="FFFFF5BF"/>
          <bgColor rgb="FF000000"/>
        </patternFill>
      </fill>
    </dxf>
    <dxf>
      <fill>
        <patternFill patternType="solid">
          <fgColor rgb="FFB06A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A00"/>
      <rgbColor rgb="FF800080"/>
      <rgbColor rgb="FF008080"/>
      <rgbColor rgb="FFD9C8B6"/>
      <rgbColor rgb="FF808080"/>
      <rgbColor rgb="FF9999FF"/>
      <rgbColor rgb="FFB3264E"/>
      <rgbColor rgb="FFFFF5B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7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5A5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3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5" t="s">
        <v>12</v>
      </c>
      <c r="C5" s="6" t="s">
        <v>13</v>
      </c>
      <c r="D5" s="6" t="s">
        <v>14</v>
      </c>
      <c r="E5" s="7" t="n">
        <v>0.55</v>
      </c>
      <c r="F5" s="4"/>
      <c r="G5" s="8"/>
      <c r="H5" s="8"/>
      <c r="I5" s="8"/>
      <c r="J5" s="6"/>
    </row>
    <row r="6" customFormat="false" ht="23.85" hidden="false" customHeight="false" outlineLevel="0" collapsed="false">
      <c r="A6" s="4" t="n">
        <v>2</v>
      </c>
      <c r="B6" s="5" t="s">
        <v>12</v>
      </c>
      <c r="C6" s="6" t="s">
        <v>15</v>
      </c>
      <c r="D6" s="6" t="s">
        <v>16</v>
      </c>
      <c r="E6" s="7" t="n">
        <v>0.8</v>
      </c>
      <c r="F6" s="4"/>
      <c r="G6" s="8"/>
      <c r="H6" s="8"/>
      <c r="I6" s="8"/>
      <c r="J6" s="9" t="s">
        <v>17</v>
      </c>
    </row>
    <row r="7" customFormat="false" ht="15" hidden="false" customHeight="false" outlineLevel="0" collapsed="false">
      <c r="A7" s="4" t="n">
        <v>3</v>
      </c>
      <c r="B7" s="5" t="s">
        <v>12</v>
      </c>
      <c r="C7" s="6" t="s">
        <v>18</v>
      </c>
      <c r="D7" s="6" t="s">
        <v>19</v>
      </c>
      <c r="E7" s="7" t="n">
        <v>0.85</v>
      </c>
      <c r="F7" s="4"/>
      <c r="G7" s="8"/>
      <c r="H7" s="8"/>
      <c r="I7" s="8"/>
      <c r="J7" s="6"/>
    </row>
    <row r="8" customFormat="false" ht="15" hidden="false" customHeight="false" outlineLevel="0" collapsed="false">
      <c r="A8" s="4" t="n">
        <v>4</v>
      </c>
      <c r="B8" s="5" t="s">
        <v>12</v>
      </c>
      <c r="C8" s="6" t="s">
        <v>20</v>
      </c>
      <c r="D8" s="6" t="s">
        <v>21</v>
      </c>
      <c r="E8" s="7" t="n">
        <v>0.95</v>
      </c>
      <c r="F8" s="4"/>
      <c r="G8" s="8"/>
      <c r="H8" s="8"/>
      <c r="I8" s="8"/>
      <c r="J8" s="6"/>
    </row>
    <row r="9" customFormat="false" ht="15" hidden="false" customHeight="false" outlineLevel="0" collapsed="false">
      <c r="A9" s="4" t="n">
        <v>5</v>
      </c>
      <c r="B9" s="5" t="s">
        <v>12</v>
      </c>
      <c r="C9" s="6" t="s">
        <v>22</v>
      </c>
      <c r="D9" s="6" t="s">
        <v>23</v>
      </c>
      <c r="E9" s="7" t="n">
        <v>1</v>
      </c>
      <c r="F9" s="4"/>
      <c r="G9" s="8"/>
      <c r="H9" s="8"/>
      <c r="I9" s="8"/>
      <c r="J9" s="6"/>
    </row>
    <row r="10" customFormat="false" ht="15" hidden="false" customHeight="false" outlineLevel="0" collapsed="false">
      <c r="A10" s="4" t="n">
        <v>6</v>
      </c>
      <c r="B10" s="5" t="s">
        <v>12</v>
      </c>
      <c r="C10" s="6" t="s">
        <v>24</v>
      </c>
      <c r="D10" s="6" t="s">
        <v>25</v>
      </c>
      <c r="E10" s="7" t="n">
        <v>0.85</v>
      </c>
      <c r="F10" s="4"/>
      <c r="G10" s="8"/>
      <c r="H10" s="8"/>
      <c r="I10" s="8"/>
      <c r="J10" s="6"/>
    </row>
    <row r="11" customFormat="false" ht="15" hidden="false" customHeight="false" outlineLevel="0" collapsed="false">
      <c r="A11" s="4" t="n">
        <v>7</v>
      </c>
      <c r="B11" s="5" t="s">
        <v>12</v>
      </c>
      <c r="C11" s="6" t="s">
        <v>26</v>
      </c>
      <c r="D11" s="6" t="s">
        <v>27</v>
      </c>
      <c r="E11" s="7" t="n">
        <v>1</v>
      </c>
      <c r="F11" s="4"/>
      <c r="G11" s="8"/>
      <c r="H11" s="8"/>
      <c r="I11" s="8"/>
      <c r="J11" s="6"/>
    </row>
    <row r="12" customFormat="false" ht="15" hidden="false" customHeight="false" outlineLevel="0" collapsed="false">
      <c r="A12" s="4" t="n">
        <v>8</v>
      </c>
      <c r="B12" s="5" t="s">
        <v>12</v>
      </c>
      <c r="C12" s="6" t="s">
        <v>28</v>
      </c>
      <c r="D12" s="6" t="s">
        <v>29</v>
      </c>
      <c r="E12" s="7" t="n">
        <v>1</v>
      </c>
      <c r="F12" s="4"/>
      <c r="G12" s="8"/>
      <c r="H12" s="8"/>
      <c r="I12" s="8"/>
      <c r="J12" s="6"/>
    </row>
    <row r="13" customFormat="false" ht="15" hidden="false" customHeight="false" outlineLevel="0" collapsed="false">
      <c r="A13" s="4" t="n">
        <v>9</v>
      </c>
      <c r="B13" s="5" t="s">
        <v>12</v>
      </c>
      <c r="C13" s="6" t="s">
        <v>30</v>
      </c>
      <c r="D13" s="6" t="s">
        <v>31</v>
      </c>
      <c r="E13" s="7" t="n">
        <v>1</v>
      </c>
      <c r="F13" s="4"/>
      <c r="G13" s="8"/>
      <c r="H13" s="8"/>
      <c r="I13" s="8"/>
      <c r="J13" s="6"/>
    </row>
    <row r="14" customFormat="false" ht="15" hidden="false" customHeight="false" outlineLevel="0" collapsed="false">
      <c r="A14" s="4" t="n">
        <v>10</v>
      </c>
      <c r="B14" s="5" t="s">
        <v>12</v>
      </c>
      <c r="C14" s="6" t="s">
        <v>32</v>
      </c>
      <c r="D14" s="6" t="s">
        <v>33</v>
      </c>
      <c r="E14" s="7" t="n">
        <v>0.85</v>
      </c>
      <c r="F14" s="4"/>
      <c r="G14" s="8"/>
      <c r="H14" s="8"/>
      <c r="I14" s="8"/>
      <c r="J14" s="6"/>
    </row>
    <row r="15" customFormat="false" ht="15" hidden="false" customHeight="false" outlineLevel="0" collapsed="false">
      <c r="A15" s="4" t="n">
        <v>11</v>
      </c>
      <c r="B15" s="5" t="s">
        <v>12</v>
      </c>
      <c r="C15" s="6" t="s">
        <v>32</v>
      </c>
      <c r="D15" s="6" t="s">
        <v>34</v>
      </c>
      <c r="E15" s="7" t="n">
        <v>1.3</v>
      </c>
      <c r="F15" s="4" t="s">
        <v>35</v>
      </c>
      <c r="G15" s="8"/>
      <c r="H15" s="8"/>
      <c r="I15" s="8"/>
      <c r="J15" s="6"/>
    </row>
    <row r="16" customFormat="false" ht="15" hidden="false" customHeight="false" outlineLevel="0" collapsed="false">
      <c r="A16" s="4" t="n">
        <v>12</v>
      </c>
      <c r="B16" s="5" t="s">
        <v>12</v>
      </c>
      <c r="C16" s="6" t="s">
        <v>36</v>
      </c>
      <c r="D16" s="6" t="s">
        <v>37</v>
      </c>
      <c r="E16" s="7" t="n">
        <v>0.5</v>
      </c>
      <c r="F16" s="4"/>
      <c r="G16" s="8"/>
      <c r="H16" s="8"/>
      <c r="I16" s="8"/>
      <c r="J16" s="6"/>
    </row>
    <row r="17" customFormat="false" ht="15" hidden="false" customHeight="false" outlineLevel="0" collapsed="false">
      <c r="A17" s="4" t="n">
        <v>13</v>
      </c>
      <c r="B17" s="5" t="s">
        <v>12</v>
      </c>
      <c r="C17" s="6" t="s">
        <v>36</v>
      </c>
      <c r="D17" s="6" t="s">
        <v>38</v>
      </c>
      <c r="E17" s="7" t="n">
        <v>0.95</v>
      </c>
      <c r="F17" s="4" t="s">
        <v>35</v>
      </c>
      <c r="G17" s="8"/>
      <c r="H17" s="8"/>
      <c r="I17" s="8"/>
      <c r="J17" s="6"/>
    </row>
    <row r="18" customFormat="false" ht="15" hidden="false" customHeight="false" outlineLevel="0" collapsed="false">
      <c r="A18" s="4" t="n">
        <v>14</v>
      </c>
      <c r="B18" s="5" t="s">
        <v>12</v>
      </c>
      <c r="C18" s="6" t="s">
        <v>39</v>
      </c>
      <c r="D18" s="6" t="s">
        <v>40</v>
      </c>
      <c r="E18" s="7" t="n">
        <v>0.5</v>
      </c>
      <c r="F18" s="4"/>
      <c r="G18" s="8"/>
      <c r="H18" s="8"/>
      <c r="I18" s="8"/>
      <c r="J18" s="6"/>
    </row>
    <row r="19" customFormat="false" ht="15" hidden="false" customHeight="false" outlineLevel="0" collapsed="false">
      <c r="A19" s="4" t="n">
        <v>15</v>
      </c>
      <c r="B19" s="5" t="s">
        <v>12</v>
      </c>
      <c r="C19" s="6" t="s">
        <v>41</v>
      </c>
      <c r="D19" s="6" t="s">
        <v>42</v>
      </c>
      <c r="E19" s="7" t="n">
        <v>0.95</v>
      </c>
      <c r="F19" s="4"/>
      <c r="G19" s="8"/>
      <c r="H19" s="8"/>
      <c r="I19" s="8"/>
      <c r="J19" s="6"/>
    </row>
    <row r="20" customFormat="false" ht="23.85" hidden="false" customHeight="false" outlineLevel="0" collapsed="false">
      <c r="A20" s="4" t="n">
        <v>16</v>
      </c>
      <c r="B20" s="5" t="s">
        <v>12</v>
      </c>
      <c r="C20" s="6" t="s">
        <v>43</v>
      </c>
      <c r="D20" s="6" t="s">
        <v>44</v>
      </c>
      <c r="E20" s="7" t="n">
        <v>1</v>
      </c>
      <c r="F20" s="4"/>
      <c r="G20" s="8"/>
      <c r="H20" s="8"/>
      <c r="I20" s="8"/>
      <c r="J20" s="9" t="s">
        <v>45</v>
      </c>
    </row>
    <row r="21" customFormat="false" ht="15" hidden="false" customHeight="false" outlineLevel="0" collapsed="false">
      <c r="A21" s="4" t="n">
        <v>17</v>
      </c>
      <c r="B21" s="5" t="s">
        <v>12</v>
      </c>
      <c r="C21" s="6" t="s">
        <v>46</v>
      </c>
      <c r="D21" s="6" t="s">
        <v>47</v>
      </c>
      <c r="E21" s="7" t="n">
        <v>1</v>
      </c>
      <c r="F21" s="4"/>
      <c r="G21" s="8"/>
      <c r="H21" s="8"/>
      <c r="I21" s="8"/>
      <c r="J21" s="6"/>
    </row>
    <row r="22" customFormat="false" ht="15" hidden="false" customHeight="false" outlineLevel="0" collapsed="false">
      <c r="A22" s="4" t="n">
        <v>18</v>
      </c>
      <c r="B22" s="5" t="s">
        <v>12</v>
      </c>
      <c r="C22" s="6" t="s">
        <v>48</v>
      </c>
      <c r="D22" s="6" t="s">
        <v>49</v>
      </c>
      <c r="E22" s="7" t="n">
        <v>1</v>
      </c>
      <c r="F22" s="4"/>
      <c r="G22" s="8"/>
      <c r="H22" s="8"/>
      <c r="I22" s="8"/>
      <c r="J22" s="6"/>
    </row>
    <row r="23" customFormat="false" ht="15" hidden="false" customHeight="false" outlineLevel="0" collapsed="false">
      <c r="A23" s="4" t="n">
        <v>19</v>
      </c>
      <c r="B23" s="5" t="s">
        <v>12</v>
      </c>
      <c r="C23" s="6" t="s">
        <v>50</v>
      </c>
      <c r="D23" s="6" t="s">
        <v>51</v>
      </c>
      <c r="E23" s="7" t="n">
        <v>0.5</v>
      </c>
      <c r="F23" s="4" t="s">
        <v>35</v>
      </c>
      <c r="G23" s="8"/>
      <c r="H23" s="8"/>
      <c r="I23" s="8"/>
      <c r="J23" s="6"/>
    </row>
    <row r="24" customFormat="false" ht="15" hidden="false" customHeight="false" outlineLevel="0" collapsed="false">
      <c r="A24" s="4" t="n">
        <v>20</v>
      </c>
      <c r="B24" s="5" t="s">
        <v>12</v>
      </c>
      <c r="C24" s="6" t="s">
        <v>52</v>
      </c>
      <c r="D24" s="6" t="s">
        <v>53</v>
      </c>
      <c r="E24" s="7" t="n">
        <v>1.5</v>
      </c>
      <c r="F24" s="4" t="s">
        <v>35</v>
      </c>
      <c r="G24" s="8"/>
      <c r="H24" s="8"/>
      <c r="I24" s="8"/>
      <c r="J24" s="6"/>
    </row>
    <row r="25" customFormat="false" ht="15" hidden="false" customHeight="false" outlineLevel="0" collapsed="false">
      <c r="A25" s="4" t="n">
        <v>21</v>
      </c>
      <c r="B25" s="5" t="s">
        <v>12</v>
      </c>
      <c r="C25" s="6" t="s">
        <v>54</v>
      </c>
      <c r="D25" s="6" t="s">
        <v>55</v>
      </c>
      <c r="E25" s="7" t="n">
        <v>0.9</v>
      </c>
      <c r="F25" s="4"/>
      <c r="G25" s="8"/>
      <c r="H25" s="8"/>
      <c r="I25" s="8"/>
      <c r="J25" s="6"/>
    </row>
    <row r="26" customFormat="false" ht="15" hidden="false" customHeight="false" outlineLevel="0" collapsed="false">
      <c r="A26" s="4" t="n">
        <v>22</v>
      </c>
      <c r="B26" s="5" t="s">
        <v>12</v>
      </c>
      <c r="C26" s="6" t="s">
        <v>56</v>
      </c>
      <c r="D26" s="6" t="s">
        <v>57</v>
      </c>
      <c r="E26" s="7" t="n">
        <v>0.9</v>
      </c>
      <c r="F26" s="4"/>
      <c r="G26" s="8"/>
      <c r="H26" s="8"/>
      <c r="I26" s="8"/>
      <c r="J26" s="6"/>
    </row>
    <row r="27" customFormat="false" ht="15" hidden="false" customHeight="false" outlineLevel="0" collapsed="false">
      <c r="A27" s="4" t="n">
        <v>23</v>
      </c>
      <c r="B27" s="5" t="s">
        <v>12</v>
      </c>
      <c r="C27" s="6" t="s">
        <v>58</v>
      </c>
      <c r="D27" s="6" t="s">
        <v>59</v>
      </c>
      <c r="E27" s="7" t="n">
        <v>1</v>
      </c>
      <c r="F27" s="4"/>
      <c r="G27" s="8"/>
      <c r="H27" s="8"/>
      <c r="I27" s="8"/>
      <c r="J27" s="6"/>
    </row>
    <row r="28" customFormat="false" ht="15" hidden="false" customHeight="false" outlineLevel="0" collapsed="false">
      <c r="A28" s="4" t="n">
        <v>24</v>
      </c>
      <c r="B28" s="5" t="s">
        <v>12</v>
      </c>
      <c r="C28" s="6" t="s">
        <v>60</v>
      </c>
      <c r="D28" s="6" t="s">
        <v>61</v>
      </c>
      <c r="E28" s="7" t="n">
        <v>1</v>
      </c>
      <c r="F28" s="4"/>
      <c r="G28" s="8"/>
      <c r="H28" s="8"/>
      <c r="I28" s="8"/>
      <c r="J28" s="6"/>
    </row>
    <row r="29" customFormat="false" ht="15" hidden="false" customHeight="false" outlineLevel="0" collapsed="false">
      <c r="A29" s="4" t="n">
        <v>25</v>
      </c>
      <c r="B29" s="5" t="s">
        <v>12</v>
      </c>
      <c r="C29" s="6" t="s">
        <v>62</v>
      </c>
      <c r="D29" s="6" t="s">
        <v>63</v>
      </c>
      <c r="E29" s="7" t="n">
        <v>1</v>
      </c>
      <c r="F29" s="4"/>
      <c r="G29" s="8"/>
      <c r="H29" s="8"/>
      <c r="I29" s="8"/>
      <c r="J29" s="6"/>
    </row>
    <row r="30" customFormat="false" ht="15" hidden="false" customHeight="false" outlineLevel="0" collapsed="false">
      <c r="A30" s="4" t="n">
        <v>26</v>
      </c>
      <c r="B30" s="5" t="s">
        <v>12</v>
      </c>
      <c r="C30" s="6" t="s">
        <v>64</v>
      </c>
      <c r="D30" s="6" t="s">
        <v>65</v>
      </c>
      <c r="E30" s="7" t="n">
        <v>1</v>
      </c>
      <c r="F30" s="4"/>
      <c r="G30" s="8"/>
      <c r="H30" s="8"/>
      <c r="I30" s="8"/>
      <c r="J30" s="6"/>
    </row>
    <row r="31" customFormat="false" ht="15" hidden="false" customHeight="false" outlineLevel="0" collapsed="false">
      <c r="A31" s="4" t="n">
        <v>27</v>
      </c>
      <c r="B31" s="5" t="s">
        <v>12</v>
      </c>
      <c r="C31" s="6" t="s">
        <v>64</v>
      </c>
      <c r="D31" s="6" t="s">
        <v>66</v>
      </c>
      <c r="E31" s="7" t="n">
        <v>2</v>
      </c>
      <c r="F31" s="4" t="s">
        <v>35</v>
      </c>
      <c r="G31" s="8"/>
      <c r="H31" s="8"/>
      <c r="I31" s="8"/>
      <c r="J31" s="6"/>
    </row>
    <row r="32" customFormat="false" ht="15" hidden="false" customHeight="false" outlineLevel="0" collapsed="false">
      <c r="A32" s="4" t="n">
        <v>28</v>
      </c>
      <c r="B32" s="5" t="s">
        <v>12</v>
      </c>
      <c r="C32" s="6" t="s">
        <v>67</v>
      </c>
      <c r="D32" s="6" t="s">
        <v>68</v>
      </c>
      <c r="E32" s="7" t="n">
        <v>2</v>
      </c>
      <c r="F32" s="4" t="s">
        <v>35</v>
      </c>
      <c r="G32" s="8"/>
      <c r="H32" s="8"/>
      <c r="I32" s="8"/>
      <c r="J32" s="6"/>
    </row>
    <row r="33" customFormat="false" ht="15" hidden="false" customHeight="false" outlineLevel="0" collapsed="false">
      <c r="A33" s="4" t="n">
        <v>29</v>
      </c>
      <c r="B33" s="5" t="s">
        <v>12</v>
      </c>
      <c r="C33" s="6" t="s">
        <v>69</v>
      </c>
      <c r="D33" s="6" t="s">
        <v>70</v>
      </c>
      <c r="E33" s="7" t="n">
        <v>1</v>
      </c>
      <c r="F33" s="4"/>
      <c r="G33" s="8"/>
      <c r="H33" s="8"/>
      <c r="I33" s="8"/>
      <c r="J33" s="6"/>
    </row>
    <row r="34" customFormat="false" ht="15" hidden="false" customHeight="false" outlineLevel="0" collapsed="false">
      <c r="A34" s="4" t="n">
        <v>30</v>
      </c>
      <c r="B34" s="5" t="s">
        <v>12</v>
      </c>
      <c r="C34" s="6" t="s">
        <v>71</v>
      </c>
      <c r="D34" s="6" t="s">
        <v>72</v>
      </c>
      <c r="E34" s="7" t="n">
        <v>0.85</v>
      </c>
      <c r="F34" s="4"/>
      <c r="G34" s="8"/>
      <c r="H34" s="8"/>
      <c r="I34" s="8"/>
      <c r="J34" s="6"/>
    </row>
    <row r="35" customFormat="false" ht="15" hidden="false" customHeight="false" outlineLevel="0" collapsed="false">
      <c r="A35" s="4" t="n">
        <v>31</v>
      </c>
      <c r="B35" s="5" t="s">
        <v>12</v>
      </c>
      <c r="C35" s="6" t="s">
        <v>73</v>
      </c>
      <c r="D35" s="6" t="s">
        <v>74</v>
      </c>
      <c r="E35" s="7" t="n">
        <v>1</v>
      </c>
      <c r="F35" s="4"/>
      <c r="G35" s="8"/>
      <c r="H35" s="8"/>
      <c r="I35" s="8"/>
      <c r="J35" s="6"/>
    </row>
    <row r="36" customFormat="false" ht="15" hidden="false" customHeight="false" outlineLevel="0" collapsed="false">
      <c r="A36" s="4" t="n">
        <v>32</v>
      </c>
      <c r="B36" s="5" t="s">
        <v>12</v>
      </c>
      <c r="C36" s="6" t="s">
        <v>75</v>
      </c>
      <c r="D36" s="6" t="s">
        <v>76</v>
      </c>
      <c r="E36" s="7" t="n">
        <v>1</v>
      </c>
      <c r="F36" s="4"/>
      <c r="G36" s="8"/>
      <c r="H36" s="8"/>
      <c r="I36" s="8"/>
      <c r="J36" s="6"/>
    </row>
    <row r="37" customFormat="false" ht="15" hidden="false" customHeight="false" outlineLevel="0" collapsed="false">
      <c r="A37" s="4" t="n">
        <v>33</v>
      </c>
      <c r="B37" s="5" t="s">
        <v>12</v>
      </c>
      <c r="C37" s="6" t="s">
        <v>75</v>
      </c>
      <c r="D37" s="6" t="s">
        <v>77</v>
      </c>
      <c r="E37" s="7" t="n">
        <v>1.5</v>
      </c>
      <c r="F37" s="4" t="s">
        <v>35</v>
      </c>
      <c r="G37" s="8"/>
      <c r="H37" s="8"/>
      <c r="I37" s="8"/>
      <c r="J37" s="6"/>
    </row>
    <row r="38" customFormat="false" ht="15" hidden="false" customHeight="false" outlineLevel="0" collapsed="false">
      <c r="A38" s="4" t="n">
        <v>34</v>
      </c>
      <c r="B38" s="5" t="s">
        <v>12</v>
      </c>
      <c r="C38" s="6" t="s">
        <v>78</v>
      </c>
      <c r="D38" s="6" t="s">
        <v>79</v>
      </c>
      <c r="E38" s="7" t="n">
        <v>0.9</v>
      </c>
      <c r="F38" s="4"/>
      <c r="G38" s="8"/>
      <c r="H38" s="8"/>
      <c r="I38" s="8"/>
      <c r="J38" s="6"/>
    </row>
    <row r="39" customFormat="false" ht="23.85" hidden="false" customHeight="false" outlineLevel="0" collapsed="false">
      <c r="A39" s="4" t="n">
        <v>35</v>
      </c>
      <c r="B39" s="5" t="s">
        <v>12</v>
      </c>
      <c r="C39" s="6" t="s">
        <v>80</v>
      </c>
      <c r="D39" s="6" t="s">
        <v>81</v>
      </c>
      <c r="E39" s="7" t="n">
        <v>1.5</v>
      </c>
      <c r="F39" s="4" t="s">
        <v>35</v>
      </c>
      <c r="G39" s="8"/>
      <c r="H39" s="8"/>
      <c r="I39" s="8"/>
      <c r="J39" s="9" t="s">
        <v>82</v>
      </c>
    </row>
    <row r="40" customFormat="false" ht="15" hidden="false" customHeight="false" outlineLevel="0" collapsed="false">
      <c r="A40" s="4" t="n">
        <v>36</v>
      </c>
      <c r="B40" s="5" t="s">
        <v>12</v>
      </c>
      <c r="C40" s="6" t="s">
        <v>83</v>
      </c>
      <c r="D40" s="6" t="s">
        <v>84</v>
      </c>
      <c r="E40" s="7" t="n">
        <v>1</v>
      </c>
      <c r="F40" s="4"/>
      <c r="G40" s="8"/>
      <c r="H40" s="8"/>
      <c r="I40" s="8"/>
      <c r="J40" s="6"/>
    </row>
    <row r="41" customFormat="false" ht="15" hidden="false" customHeight="false" outlineLevel="0" collapsed="false">
      <c r="A41" s="4" t="n">
        <v>37</v>
      </c>
      <c r="B41" s="5" t="s">
        <v>12</v>
      </c>
      <c r="C41" s="6" t="s">
        <v>85</v>
      </c>
      <c r="D41" s="6" t="s">
        <v>86</v>
      </c>
      <c r="E41" s="7" t="n">
        <v>1</v>
      </c>
      <c r="F41" s="4" t="s">
        <v>35</v>
      </c>
      <c r="G41" s="8"/>
      <c r="H41" s="8"/>
      <c r="I41" s="8"/>
      <c r="J41" s="6"/>
    </row>
    <row r="42" customFormat="false" ht="15" hidden="false" customHeight="false" outlineLevel="0" collapsed="false">
      <c r="A42" s="4" t="n">
        <v>38</v>
      </c>
      <c r="B42" s="5" t="s">
        <v>87</v>
      </c>
      <c r="C42" s="6" t="s">
        <v>88</v>
      </c>
      <c r="D42" s="6" t="s">
        <v>89</v>
      </c>
      <c r="E42" s="7" t="n">
        <v>0.62</v>
      </c>
      <c r="F42" s="4"/>
      <c r="G42" s="8"/>
      <c r="H42" s="8"/>
      <c r="I42" s="8"/>
      <c r="J42" s="6"/>
    </row>
    <row r="43" customFormat="false" ht="15" hidden="false" customHeight="false" outlineLevel="0" collapsed="false">
      <c r="A43" s="4" t="n">
        <v>39</v>
      </c>
      <c r="B43" s="5" t="s">
        <v>87</v>
      </c>
      <c r="C43" s="6" t="s">
        <v>90</v>
      </c>
      <c r="D43" s="6" t="s">
        <v>91</v>
      </c>
      <c r="E43" s="7" t="n">
        <v>0.62</v>
      </c>
      <c r="F43" s="4"/>
      <c r="G43" s="8"/>
      <c r="H43" s="8"/>
      <c r="I43" s="8"/>
      <c r="J43" s="6"/>
    </row>
    <row r="44" customFormat="false" ht="15" hidden="false" customHeight="false" outlineLevel="0" collapsed="false">
      <c r="A44" s="4" t="n">
        <v>40</v>
      </c>
      <c r="B44" s="5" t="s">
        <v>87</v>
      </c>
      <c r="C44" s="6" t="s">
        <v>92</v>
      </c>
      <c r="D44" s="6" t="s">
        <v>93</v>
      </c>
      <c r="E44" s="7" t="n">
        <v>0.62</v>
      </c>
      <c r="F44" s="4"/>
      <c r="G44" s="8"/>
      <c r="H44" s="8"/>
      <c r="I44" s="8"/>
      <c r="J44" s="6"/>
    </row>
    <row r="45" customFormat="false" ht="15" hidden="false" customHeight="false" outlineLevel="0" collapsed="false">
      <c r="A45" s="4" t="n">
        <v>41</v>
      </c>
      <c r="B45" s="5" t="s">
        <v>87</v>
      </c>
      <c r="C45" s="6" t="s">
        <v>94</v>
      </c>
      <c r="D45" s="6" t="s">
        <v>95</v>
      </c>
      <c r="E45" s="7" t="n">
        <v>0.6</v>
      </c>
      <c r="F45" s="4"/>
      <c r="G45" s="8"/>
      <c r="H45" s="8"/>
      <c r="I45" s="8"/>
      <c r="J45" s="6"/>
    </row>
    <row r="46" customFormat="false" ht="15" hidden="false" customHeight="false" outlineLevel="0" collapsed="false">
      <c r="A46" s="4" t="n">
        <v>42</v>
      </c>
      <c r="B46" s="5" t="s">
        <v>87</v>
      </c>
      <c r="C46" s="6" t="s">
        <v>96</v>
      </c>
      <c r="D46" s="6" t="s">
        <v>97</v>
      </c>
      <c r="E46" s="7" t="n">
        <v>0.6</v>
      </c>
      <c r="F46" s="4"/>
      <c r="G46" s="8"/>
      <c r="H46" s="8"/>
      <c r="I46" s="8"/>
      <c r="J46" s="6"/>
    </row>
    <row r="47" customFormat="false" ht="15" hidden="false" customHeight="false" outlineLevel="0" collapsed="false">
      <c r="A47" s="4" t="n">
        <v>43</v>
      </c>
      <c r="B47" s="5" t="s">
        <v>87</v>
      </c>
      <c r="C47" s="6" t="s">
        <v>98</v>
      </c>
      <c r="D47" s="6" t="s">
        <v>99</v>
      </c>
      <c r="E47" s="7" t="n">
        <v>0.6</v>
      </c>
      <c r="F47" s="4"/>
      <c r="G47" s="8"/>
      <c r="H47" s="8"/>
      <c r="I47" s="8"/>
      <c r="J47" s="6"/>
    </row>
    <row r="48" customFormat="false" ht="23.85" hidden="false" customHeight="false" outlineLevel="0" collapsed="false">
      <c r="A48" s="4" t="n">
        <v>44</v>
      </c>
      <c r="B48" s="5" t="s">
        <v>87</v>
      </c>
      <c r="C48" s="6" t="s">
        <v>100</v>
      </c>
      <c r="D48" s="6" t="s">
        <v>101</v>
      </c>
      <c r="E48" s="7" t="n">
        <v>0.6</v>
      </c>
      <c r="F48" s="4"/>
      <c r="G48" s="8"/>
      <c r="H48" s="8"/>
      <c r="I48" s="8"/>
      <c r="J48" s="6"/>
    </row>
    <row r="49" customFormat="false" ht="23.85" hidden="false" customHeight="false" outlineLevel="0" collapsed="false">
      <c r="A49" s="4" t="n">
        <v>45</v>
      </c>
      <c r="B49" s="5" t="s">
        <v>87</v>
      </c>
      <c r="C49" s="6" t="s">
        <v>102</v>
      </c>
      <c r="D49" s="6" t="s">
        <v>103</v>
      </c>
      <c r="E49" s="7" t="n">
        <v>0.6</v>
      </c>
      <c r="F49" s="4"/>
      <c r="G49" s="8"/>
      <c r="H49" s="8"/>
      <c r="I49" s="8"/>
      <c r="J49" s="6"/>
    </row>
    <row r="50" customFormat="false" ht="15" hidden="false" customHeight="false" outlineLevel="0" collapsed="false">
      <c r="A50" s="4" t="n">
        <v>46</v>
      </c>
      <c r="B50" s="5" t="s">
        <v>87</v>
      </c>
      <c r="C50" s="6" t="s">
        <v>104</v>
      </c>
      <c r="D50" s="6" t="s">
        <v>105</v>
      </c>
      <c r="E50" s="7" t="n">
        <v>0.62</v>
      </c>
      <c r="F50" s="4"/>
      <c r="G50" s="8"/>
      <c r="H50" s="8"/>
      <c r="I50" s="8"/>
      <c r="J50" s="6"/>
    </row>
    <row r="51" customFormat="false" ht="15" hidden="false" customHeight="false" outlineLevel="0" collapsed="false">
      <c r="A51" s="4" t="n">
        <v>47</v>
      </c>
      <c r="B51" s="5" t="s">
        <v>87</v>
      </c>
      <c r="C51" s="6" t="s">
        <v>106</v>
      </c>
      <c r="D51" s="6" t="s">
        <v>107</v>
      </c>
      <c r="E51" s="7" t="n">
        <v>0.62</v>
      </c>
      <c r="F51" s="4"/>
      <c r="G51" s="8"/>
      <c r="H51" s="8"/>
      <c r="I51" s="8"/>
      <c r="J51" s="6"/>
    </row>
    <row r="52" customFormat="false" ht="23.85" hidden="false" customHeight="false" outlineLevel="0" collapsed="false">
      <c r="A52" s="4" t="n">
        <v>48</v>
      </c>
      <c r="B52" s="5" t="s">
        <v>87</v>
      </c>
      <c r="C52" s="6" t="s">
        <v>108</v>
      </c>
      <c r="D52" s="6" t="s">
        <v>109</v>
      </c>
      <c r="E52" s="7" t="n">
        <v>0.62</v>
      </c>
      <c r="F52" s="4"/>
      <c r="G52" s="8"/>
      <c r="H52" s="8"/>
      <c r="I52" s="8"/>
      <c r="J52" s="6"/>
    </row>
    <row r="53" customFormat="false" ht="15" hidden="false" customHeight="false" outlineLevel="0" collapsed="false">
      <c r="A53" s="4" t="n">
        <v>49</v>
      </c>
      <c r="B53" s="5" t="s">
        <v>110</v>
      </c>
      <c r="C53" s="6" t="s">
        <v>111</v>
      </c>
      <c r="D53" s="6" t="s">
        <v>112</v>
      </c>
      <c r="E53" s="7" t="n">
        <v>0.39</v>
      </c>
      <c r="F53" s="4"/>
      <c r="G53" s="8"/>
      <c r="H53" s="8"/>
      <c r="I53" s="8"/>
      <c r="J53" s="6"/>
    </row>
    <row r="54" customFormat="false" ht="15" hidden="false" customHeight="false" outlineLevel="0" collapsed="false">
      <c r="A54" s="4" t="n">
        <v>50</v>
      </c>
      <c r="B54" s="5" t="s">
        <v>110</v>
      </c>
      <c r="C54" s="6" t="s">
        <v>113</v>
      </c>
      <c r="D54" s="6" t="s">
        <v>114</v>
      </c>
      <c r="E54" s="7" t="n">
        <v>0.36</v>
      </c>
      <c r="F54" s="4"/>
      <c r="G54" s="8"/>
      <c r="H54" s="8"/>
      <c r="I54" s="8"/>
      <c r="J54" s="6"/>
    </row>
    <row r="55" customFormat="false" ht="15" hidden="false" customHeight="false" outlineLevel="0" collapsed="false">
      <c r="A55" s="4" t="n">
        <v>51</v>
      </c>
      <c r="B55" s="5" t="s">
        <v>110</v>
      </c>
      <c r="C55" s="6" t="s">
        <v>115</v>
      </c>
      <c r="D55" s="6" t="s">
        <v>116</v>
      </c>
      <c r="E55" s="7" t="n">
        <v>0.47</v>
      </c>
      <c r="F55" s="4"/>
      <c r="G55" s="8"/>
      <c r="H55" s="8"/>
      <c r="I55" s="8"/>
      <c r="J55" s="6"/>
    </row>
    <row r="56" customFormat="false" ht="15" hidden="false" customHeight="false" outlineLevel="0" collapsed="false">
      <c r="A56" s="4" t="n">
        <v>52</v>
      </c>
      <c r="B56" s="5" t="s">
        <v>110</v>
      </c>
      <c r="C56" s="6" t="s">
        <v>117</v>
      </c>
      <c r="D56" s="6" t="s">
        <v>118</v>
      </c>
      <c r="E56" s="7" t="n">
        <v>0.36</v>
      </c>
      <c r="F56" s="4"/>
      <c r="G56" s="8"/>
      <c r="H56" s="8"/>
      <c r="I56" s="8"/>
      <c r="J56" s="6"/>
    </row>
    <row r="57" customFormat="false" ht="15" hidden="false" customHeight="false" outlineLevel="0" collapsed="false">
      <c r="A57" s="4" t="n">
        <v>53</v>
      </c>
      <c r="B57" s="5" t="s">
        <v>110</v>
      </c>
      <c r="C57" s="6" t="s">
        <v>13</v>
      </c>
      <c r="D57" s="6" t="s">
        <v>119</v>
      </c>
      <c r="E57" s="7" t="n">
        <v>0.45</v>
      </c>
      <c r="F57" s="4"/>
      <c r="G57" s="8"/>
      <c r="H57" s="8"/>
      <c r="I57" s="8"/>
      <c r="J57" s="6"/>
    </row>
    <row r="58" customFormat="false" ht="15" hidden="false" customHeight="false" outlineLevel="0" collapsed="false">
      <c r="A58" s="4" t="n">
        <v>54</v>
      </c>
      <c r="B58" s="5" t="s">
        <v>110</v>
      </c>
      <c r="C58" s="6" t="s">
        <v>120</v>
      </c>
      <c r="D58" s="6" t="s">
        <v>121</v>
      </c>
      <c r="E58" s="7" t="n">
        <v>0.36</v>
      </c>
      <c r="F58" s="4"/>
      <c r="G58" s="8"/>
      <c r="H58" s="8"/>
      <c r="I58" s="8"/>
      <c r="J58" s="6"/>
    </row>
    <row r="59" customFormat="false" ht="15" hidden="false" customHeight="false" outlineLevel="0" collapsed="false">
      <c r="A59" s="4" t="n">
        <v>55</v>
      </c>
      <c r="B59" s="5" t="s">
        <v>110</v>
      </c>
      <c r="C59" s="6" t="s">
        <v>122</v>
      </c>
      <c r="D59" s="6" t="s">
        <v>123</v>
      </c>
      <c r="E59" s="7" t="n">
        <v>0.25</v>
      </c>
      <c r="F59" s="4"/>
      <c r="G59" s="8"/>
      <c r="H59" s="8"/>
      <c r="I59" s="8"/>
      <c r="J59" s="6"/>
    </row>
    <row r="60" customFormat="false" ht="15" hidden="false" customHeight="false" outlineLevel="0" collapsed="false">
      <c r="A60" s="4" t="n">
        <v>56</v>
      </c>
      <c r="B60" s="5" t="s">
        <v>110</v>
      </c>
      <c r="C60" s="6" t="s">
        <v>124</v>
      </c>
      <c r="D60" s="6" t="s">
        <v>125</v>
      </c>
      <c r="E60" s="7" t="n">
        <v>0.36</v>
      </c>
      <c r="F60" s="4"/>
      <c r="G60" s="8"/>
      <c r="H60" s="8"/>
      <c r="I60" s="8"/>
      <c r="J60" s="6"/>
    </row>
    <row r="61" customFormat="false" ht="15" hidden="false" customHeight="false" outlineLevel="0" collapsed="false">
      <c r="A61" s="4" t="n">
        <v>57</v>
      </c>
      <c r="B61" s="5" t="s">
        <v>110</v>
      </c>
      <c r="C61" s="6" t="s">
        <v>78</v>
      </c>
      <c r="D61" s="6" t="s">
        <v>126</v>
      </c>
      <c r="E61" s="7" t="n">
        <v>0.42</v>
      </c>
      <c r="F61" s="4"/>
      <c r="G61" s="8"/>
      <c r="H61" s="8"/>
      <c r="I61" s="8"/>
      <c r="J61" s="6"/>
    </row>
    <row r="62" customFormat="false" ht="15" hidden="false" customHeight="false" outlineLevel="0" collapsed="false">
      <c r="A62" s="4" t="n">
        <v>58</v>
      </c>
      <c r="B62" s="5" t="s">
        <v>110</v>
      </c>
      <c r="C62" s="6" t="s">
        <v>127</v>
      </c>
      <c r="D62" s="6" t="s">
        <v>128</v>
      </c>
      <c r="E62" s="7" t="n">
        <v>0.25</v>
      </c>
      <c r="F62" s="4"/>
      <c r="G62" s="8"/>
      <c r="H62" s="8"/>
      <c r="I62" s="8"/>
      <c r="J62" s="6"/>
    </row>
    <row r="63" customFormat="false" ht="23.85" hidden="false" customHeight="false" outlineLevel="0" collapsed="false">
      <c r="A63" s="4" t="n">
        <v>59</v>
      </c>
      <c r="B63" s="5" t="s">
        <v>110</v>
      </c>
      <c r="C63" s="6" t="s">
        <v>129</v>
      </c>
      <c r="D63" s="6" t="s">
        <v>130</v>
      </c>
      <c r="E63" s="7" t="n">
        <v>0.25</v>
      </c>
      <c r="F63" s="4"/>
      <c r="G63" s="8"/>
      <c r="H63" s="8"/>
      <c r="I63" s="8"/>
      <c r="J63" s="9" t="s">
        <v>131</v>
      </c>
    </row>
    <row r="64" customFormat="false" ht="15" hidden="false" customHeight="false" outlineLevel="0" collapsed="false">
      <c r="A64" s="4" t="n">
        <v>60</v>
      </c>
      <c r="B64" s="5" t="s">
        <v>110</v>
      </c>
      <c r="C64" s="6" t="s">
        <v>132</v>
      </c>
      <c r="D64" s="6" t="s">
        <v>133</v>
      </c>
      <c r="E64" s="7" t="n">
        <v>0.25</v>
      </c>
      <c r="F64" s="4"/>
      <c r="G64" s="8"/>
      <c r="H64" s="8"/>
      <c r="I64" s="8"/>
      <c r="J64" s="6"/>
    </row>
    <row r="65" customFormat="false" ht="15" hidden="false" customHeight="false" outlineLevel="0" collapsed="false">
      <c r="A65" s="4" t="n">
        <v>61</v>
      </c>
      <c r="B65" s="5" t="s">
        <v>110</v>
      </c>
      <c r="C65" s="6" t="s">
        <v>134</v>
      </c>
      <c r="D65" s="6" t="s">
        <v>135</v>
      </c>
      <c r="E65" s="7" t="n">
        <v>0.265</v>
      </c>
      <c r="F65" s="4"/>
      <c r="G65" s="8"/>
      <c r="H65" s="8"/>
      <c r="I65" s="8"/>
      <c r="J65" s="6"/>
    </row>
    <row r="66" customFormat="false" ht="15" hidden="false" customHeight="false" outlineLevel="0" collapsed="false">
      <c r="A66" s="4" t="n">
        <v>62</v>
      </c>
      <c r="B66" s="5" t="s">
        <v>110</v>
      </c>
      <c r="C66" s="6" t="s">
        <v>136</v>
      </c>
      <c r="D66" s="6" t="s">
        <v>137</v>
      </c>
      <c r="E66" s="7" t="n">
        <v>0.38</v>
      </c>
      <c r="F66" s="4"/>
      <c r="G66" s="8"/>
      <c r="H66" s="8"/>
      <c r="I66" s="8"/>
      <c r="J66" s="6"/>
    </row>
    <row r="67" customFormat="false" ht="15" hidden="false" customHeight="false" outlineLevel="0" collapsed="false">
      <c r="A67" s="4" t="n">
        <v>63</v>
      </c>
      <c r="B67" s="5" t="s">
        <v>110</v>
      </c>
      <c r="C67" s="6" t="s">
        <v>138</v>
      </c>
      <c r="D67" s="6" t="s">
        <v>139</v>
      </c>
      <c r="E67" s="7" t="n">
        <v>0.24</v>
      </c>
      <c r="F67" s="4"/>
      <c r="G67" s="8"/>
      <c r="H67" s="8"/>
      <c r="I67" s="8"/>
      <c r="J67" s="6"/>
    </row>
    <row r="68" customFormat="false" ht="15" hidden="false" customHeight="false" outlineLevel="0" collapsed="false">
      <c r="A68" s="4" t="n">
        <v>64</v>
      </c>
      <c r="B68" s="5" t="s">
        <v>110</v>
      </c>
      <c r="C68" s="6" t="s">
        <v>24</v>
      </c>
      <c r="D68" s="6" t="s">
        <v>140</v>
      </c>
      <c r="E68" s="7" t="n">
        <v>0.47</v>
      </c>
      <c r="F68" s="4"/>
      <c r="G68" s="8"/>
      <c r="H68" s="8"/>
      <c r="I68" s="8"/>
      <c r="J68" s="6"/>
    </row>
    <row r="69" customFormat="false" ht="15" hidden="false" customHeight="false" outlineLevel="0" collapsed="false">
      <c r="A69" s="4" t="n">
        <v>65</v>
      </c>
      <c r="B69" s="5" t="s">
        <v>110</v>
      </c>
      <c r="C69" s="6" t="s">
        <v>141</v>
      </c>
      <c r="D69" s="6" t="s">
        <v>142</v>
      </c>
      <c r="E69" s="7" t="n">
        <v>0.075</v>
      </c>
      <c r="F69" s="4" t="s">
        <v>35</v>
      </c>
      <c r="G69" s="8"/>
      <c r="H69" s="8"/>
      <c r="I69" s="8"/>
      <c r="J69" s="6"/>
    </row>
    <row r="70" customFormat="false" ht="15" hidden="false" customHeight="false" outlineLevel="0" collapsed="false">
      <c r="A70" s="4" t="n">
        <v>66</v>
      </c>
      <c r="B70" s="5" t="s">
        <v>110</v>
      </c>
      <c r="C70" s="6" t="s">
        <v>143</v>
      </c>
      <c r="D70" s="6" t="s">
        <v>144</v>
      </c>
      <c r="E70" s="7" t="n">
        <v>0.075</v>
      </c>
      <c r="F70" s="4" t="s">
        <v>35</v>
      </c>
      <c r="G70" s="8"/>
      <c r="H70" s="8"/>
      <c r="I70" s="8"/>
      <c r="J70" s="6"/>
    </row>
    <row r="71" customFormat="false" ht="15" hidden="false" customHeight="false" outlineLevel="0" collapsed="false">
      <c r="A71" s="4" t="n">
        <v>67</v>
      </c>
      <c r="B71" s="5" t="s">
        <v>110</v>
      </c>
      <c r="C71" s="6" t="s">
        <v>145</v>
      </c>
      <c r="D71" s="6" t="s">
        <v>146</v>
      </c>
      <c r="E71" s="7" t="n">
        <v>0.08</v>
      </c>
      <c r="F71" s="4" t="s">
        <v>35</v>
      </c>
      <c r="G71" s="8"/>
      <c r="H71" s="8"/>
      <c r="I71" s="8"/>
      <c r="J71" s="6"/>
    </row>
    <row r="72" customFormat="false" ht="15" hidden="false" customHeight="false" outlineLevel="0" collapsed="false">
      <c r="A72" s="4" t="n">
        <v>68</v>
      </c>
      <c r="B72" s="5" t="s">
        <v>110</v>
      </c>
      <c r="C72" s="6" t="s">
        <v>147</v>
      </c>
      <c r="D72" s="6" t="s">
        <v>148</v>
      </c>
      <c r="E72" s="7" t="n">
        <v>0.075</v>
      </c>
      <c r="F72" s="4" t="s">
        <v>35</v>
      </c>
      <c r="G72" s="8"/>
      <c r="H72" s="8"/>
      <c r="I72" s="8"/>
      <c r="J72" s="6"/>
    </row>
    <row r="73" customFormat="false" ht="15" hidden="false" customHeight="false" outlineLevel="0" collapsed="false">
      <c r="A73" s="4" t="n">
        <v>69</v>
      </c>
      <c r="B73" s="5" t="s">
        <v>110</v>
      </c>
      <c r="C73" s="6" t="s">
        <v>149</v>
      </c>
      <c r="D73" s="6" t="s">
        <v>150</v>
      </c>
      <c r="E73" s="7" t="n">
        <v>0.05</v>
      </c>
      <c r="F73" s="4" t="s">
        <v>35</v>
      </c>
      <c r="G73" s="8"/>
      <c r="H73" s="8"/>
      <c r="I73" s="8"/>
      <c r="J73" s="6"/>
    </row>
    <row r="74" customFormat="false" ht="15" hidden="false" customHeight="false" outlineLevel="0" collapsed="false">
      <c r="A74" s="4" t="n">
        <v>70</v>
      </c>
      <c r="B74" s="5" t="s">
        <v>151</v>
      </c>
      <c r="C74" s="6" t="s">
        <v>149</v>
      </c>
      <c r="D74" s="6" t="s">
        <v>152</v>
      </c>
      <c r="E74" s="7" t="n">
        <v>0.2</v>
      </c>
      <c r="F74" s="4"/>
      <c r="G74" s="8"/>
      <c r="H74" s="8"/>
      <c r="I74" s="8"/>
      <c r="J74" s="6"/>
    </row>
    <row r="75" customFormat="false" ht="15" hidden="false" customHeight="false" outlineLevel="0" collapsed="false">
      <c r="A75" s="4" t="n">
        <v>71</v>
      </c>
      <c r="B75" s="5" t="s">
        <v>151</v>
      </c>
      <c r="C75" s="6" t="s">
        <v>143</v>
      </c>
      <c r="D75" s="6" t="s">
        <v>153</v>
      </c>
      <c r="E75" s="7" t="n">
        <v>0.3</v>
      </c>
      <c r="F75" s="4"/>
      <c r="G75" s="8"/>
      <c r="H75" s="8"/>
      <c r="I75" s="8"/>
      <c r="J75" s="6"/>
    </row>
    <row r="76" customFormat="false" ht="15" hidden="false" customHeight="false" outlineLevel="0" collapsed="false">
      <c r="A76" s="4" t="n">
        <v>72</v>
      </c>
      <c r="B76" s="5" t="s">
        <v>151</v>
      </c>
      <c r="C76" s="6" t="s">
        <v>141</v>
      </c>
      <c r="D76" s="6" t="s">
        <v>154</v>
      </c>
      <c r="E76" s="7" t="n">
        <v>0.3</v>
      </c>
      <c r="F76" s="4"/>
      <c r="G76" s="8"/>
      <c r="H76" s="8"/>
      <c r="I76" s="8"/>
      <c r="J76" s="6"/>
    </row>
    <row r="77" customFormat="false" ht="15" hidden="false" customHeight="false" outlineLevel="0" collapsed="false">
      <c r="A77" s="4" t="n">
        <v>73</v>
      </c>
      <c r="B77" s="5" t="s">
        <v>151</v>
      </c>
      <c r="C77" s="6" t="s">
        <v>147</v>
      </c>
      <c r="D77" s="6" t="s">
        <v>155</v>
      </c>
      <c r="E77" s="7" t="n">
        <v>0.3</v>
      </c>
      <c r="F77" s="4"/>
      <c r="G77" s="8"/>
      <c r="H77" s="8"/>
      <c r="I77" s="8"/>
      <c r="J77" s="6"/>
    </row>
    <row r="78" customFormat="false" ht="15" hidden="false" customHeight="false" outlineLevel="0" collapsed="false">
      <c r="A78" s="4" t="n">
        <v>74</v>
      </c>
      <c r="B78" s="5" t="s">
        <v>151</v>
      </c>
      <c r="C78" s="6" t="s">
        <v>145</v>
      </c>
      <c r="D78" s="6" t="s">
        <v>156</v>
      </c>
      <c r="E78" s="7" t="n">
        <v>0.4</v>
      </c>
      <c r="F78" s="4"/>
      <c r="G78" s="8"/>
      <c r="H78" s="8"/>
      <c r="I78" s="8"/>
      <c r="J78" s="6"/>
    </row>
    <row r="79" customFormat="false" ht="15" hidden="false" customHeight="false" outlineLevel="0" collapsed="false">
      <c r="A79" s="4" t="n">
        <v>75</v>
      </c>
      <c r="B79" s="5" t="s">
        <v>151</v>
      </c>
      <c r="C79" s="6" t="s">
        <v>54</v>
      </c>
      <c r="D79" s="6" t="s">
        <v>157</v>
      </c>
      <c r="E79" s="7" t="n">
        <v>0.25</v>
      </c>
      <c r="F79" s="4"/>
      <c r="G79" s="8"/>
      <c r="H79" s="8"/>
      <c r="I79" s="8"/>
      <c r="J79" s="6"/>
    </row>
    <row r="80" customFormat="false" ht="23.85" hidden="false" customHeight="false" outlineLevel="0" collapsed="false">
      <c r="A80" s="4" t="n">
        <v>76</v>
      </c>
      <c r="B80" s="5" t="s">
        <v>151</v>
      </c>
      <c r="C80" s="6" t="s">
        <v>158</v>
      </c>
      <c r="D80" s="6" t="s">
        <v>159</v>
      </c>
      <c r="E80" s="7" t="n">
        <v>0.25</v>
      </c>
      <c r="F80" s="4"/>
      <c r="G80" s="8"/>
      <c r="H80" s="8"/>
      <c r="I80" s="8"/>
      <c r="J80" s="6"/>
    </row>
    <row r="81" customFormat="false" ht="15" hidden="false" customHeight="false" outlineLevel="0" collapsed="false">
      <c r="A81" s="4" t="n">
        <v>77</v>
      </c>
      <c r="B81" s="5" t="s">
        <v>151</v>
      </c>
      <c r="C81" s="6" t="s">
        <v>160</v>
      </c>
      <c r="D81" s="6" t="s">
        <v>161</v>
      </c>
      <c r="E81" s="7" t="n">
        <v>0.225</v>
      </c>
      <c r="F81" s="4"/>
      <c r="G81" s="8"/>
      <c r="H81" s="8"/>
      <c r="I81" s="8"/>
      <c r="J81" s="6"/>
    </row>
    <row r="82" customFormat="false" ht="15" hidden="false" customHeight="false" outlineLevel="0" collapsed="false">
      <c r="A82" s="4" t="n">
        <v>78</v>
      </c>
      <c r="B82" s="5" t="s">
        <v>151</v>
      </c>
      <c r="C82" s="6" t="s">
        <v>85</v>
      </c>
      <c r="D82" s="6" t="s">
        <v>162</v>
      </c>
      <c r="E82" s="7" t="n">
        <v>0.34</v>
      </c>
      <c r="F82" s="4"/>
      <c r="G82" s="8"/>
      <c r="H82" s="8"/>
      <c r="I82" s="8"/>
      <c r="J82" s="6"/>
    </row>
    <row r="83" customFormat="false" ht="15" hidden="false" customHeight="false" outlineLevel="0" collapsed="false">
      <c r="A83" s="4" t="n">
        <v>79</v>
      </c>
      <c r="B83" s="5" t="s">
        <v>151</v>
      </c>
      <c r="C83" s="6" t="s">
        <v>163</v>
      </c>
      <c r="D83" s="6" t="s">
        <v>164</v>
      </c>
      <c r="E83" s="7" t="n">
        <v>0.31</v>
      </c>
      <c r="F83" s="4"/>
      <c r="G83" s="8"/>
      <c r="H83" s="8"/>
      <c r="I83" s="8"/>
      <c r="J83" s="9" t="s">
        <v>165</v>
      </c>
    </row>
    <row r="84" customFormat="false" ht="23.85" hidden="false" customHeight="false" outlineLevel="0" collapsed="false">
      <c r="A84" s="4" t="n">
        <v>80</v>
      </c>
      <c r="B84" s="5" t="s">
        <v>151</v>
      </c>
      <c r="C84" s="6" t="s">
        <v>166</v>
      </c>
      <c r="D84" s="6" t="s">
        <v>167</v>
      </c>
      <c r="E84" s="7" t="n">
        <v>0.31</v>
      </c>
      <c r="F84" s="4"/>
      <c r="G84" s="8"/>
      <c r="H84" s="8"/>
      <c r="I84" s="8"/>
      <c r="J84" s="9" t="s">
        <v>165</v>
      </c>
    </row>
    <row r="85" customFormat="false" ht="15" hidden="false" customHeight="false" outlineLevel="0" collapsed="false">
      <c r="A85" s="4" t="n">
        <v>81</v>
      </c>
      <c r="B85" s="5" t="s">
        <v>151</v>
      </c>
      <c r="C85" s="6" t="s">
        <v>168</v>
      </c>
      <c r="D85" s="6" t="s">
        <v>169</v>
      </c>
      <c r="E85" s="7" t="n">
        <v>0.31</v>
      </c>
      <c r="F85" s="4"/>
      <c r="G85" s="8"/>
      <c r="H85" s="8"/>
      <c r="I85" s="8"/>
      <c r="J85" s="9" t="s">
        <v>165</v>
      </c>
    </row>
    <row r="86" customFormat="false" ht="23.85" hidden="false" customHeight="false" outlineLevel="0" collapsed="false">
      <c r="A86" s="4" t="n">
        <v>82</v>
      </c>
      <c r="B86" s="5" t="s">
        <v>151</v>
      </c>
      <c r="C86" s="6" t="s">
        <v>170</v>
      </c>
      <c r="D86" s="6" t="s">
        <v>171</v>
      </c>
      <c r="E86" s="7" t="n">
        <v>0.256</v>
      </c>
      <c r="F86" s="4"/>
      <c r="G86" s="8"/>
      <c r="H86" s="8"/>
      <c r="I86" s="8"/>
      <c r="J86" s="9" t="s">
        <v>172</v>
      </c>
    </row>
    <row r="87" customFormat="false" ht="23.85" hidden="false" customHeight="false" outlineLevel="0" collapsed="false">
      <c r="A87" s="4" t="n">
        <v>83</v>
      </c>
      <c r="B87" s="5" t="s">
        <v>173</v>
      </c>
      <c r="C87" s="6" t="s">
        <v>174</v>
      </c>
      <c r="D87" s="6" t="s">
        <v>175</v>
      </c>
      <c r="E87" s="7" t="n">
        <v>0.35</v>
      </c>
      <c r="F87" s="4"/>
      <c r="G87" s="8"/>
      <c r="H87" s="8"/>
      <c r="I87" s="8"/>
      <c r="J87" s="6"/>
    </row>
    <row r="88" customFormat="false" ht="15" hidden="false" customHeight="false" outlineLevel="0" collapsed="false">
      <c r="A88" s="4" t="n">
        <v>84</v>
      </c>
      <c r="B88" s="5" t="s">
        <v>173</v>
      </c>
      <c r="C88" s="6" t="s">
        <v>176</v>
      </c>
      <c r="D88" s="6" t="s">
        <v>177</v>
      </c>
      <c r="E88" s="7" t="n">
        <v>0.5</v>
      </c>
      <c r="F88" s="4"/>
      <c r="G88" s="8"/>
      <c r="H88" s="8"/>
      <c r="I88" s="8"/>
      <c r="J88" s="6"/>
    </row>
    <row r="89" customFormat="false" ht="15" hidden="false" customHeight="false" outlineLevel="0" collapsed="false">
      <c r="A89" s="4" t="n">
        <v>85</v>
      </c>
      <c r="B89" s="5" t="s">
        <v>173</v>
      </c>
      <c r="C89" s="6" t="s">
        <v>178</v>
      </c>
      <c r="D89" s="6" t="s">
        <v>179</v>
      </c>
      <c r="E89" s="7" t="n">
        <v>0.85</v>
      </c>
      <c r="F89" s="4"/>
      <c r="G89" s="8"/>
      <c r="H89" s="8"/>
      <c r="I89" s="8"/>
      <c r="J89" s="6"/>
    </row>
    <row r="90" customFormat="false" ht="15" hidden="false" customHeight="false" outlineLevel="0" collapsed="false">
      <c r="A90" s="4" t="n">
        <v>86</v>
      </c>
      <c r="B90" s="5" t="s">
        <v>173</v>
      </c>
      <c r="C90" s="6" t="s">
        <v>178</v>
      </c>
      <c r="D90" s="6" t="s">
        <v>180</v>
      </c>
      <c r="E90" s="7" t="n">
        <v>0.425</v>
      </c>
      <c r="F90" s="4"/>
      <c r="G90" s="8"/>
      <c r="H90" s="8"/>
      <c r="I90" s="8"/>
      <c r="J90" s="6"/>
    </row>
    <row r="91" customFormat="false" ht="15" hidden="false" customHeight="false" outlineLevel="0" collapsed="false">
      <c r="A91" s="4" t="n">
        <v>87</v>
      </c>
      <c r="B91" s="5" t="s">
        <v>173</v>
      </c>
      <c r="C91" s="6" t="s">
        <v>181</v>
      </c>
      <c r="D91" s="6" t="s">
        <v>182</v>
      </c>
      <c r="E91" s="7" t="n">
        <v>0.8</v>
      </c>
      <c r="F91" s="4"/>
      <c r="G91" s="8"/>
      <c r="H91" s="8"/>
      <c r="I91" s="8"/>
      <c r="J91" s="6"/>
    </row>
    <row r="92" customFormat="false" ht="15" hidden="false" customHeight="false" outlineLevel="0" collapsed="false">
      <c r="A92" s="4" t="n">
        <v>88</v>
      </c>
      <c r="B92" s="5" t="s">
        <v>173</v>
      </c>
      <c r="C92" s="6" t="s">
        <v>181</v>
      </c>
      <c r="D92" s="6" t="s">
        <v>183</v>
      </c>
      <c r="E92" s="7" t="n">
        <v>0.4</v>
      </c>
      <c r="F92" s="4"/>
      <c r="G92" s="8"/>
      <c r="H92" s="8"/>
      <c r="I92" s="8"/>
      <c r="J92" s="6"/>
    </row>
    <row r="93" customFormat="false" ht="15" hidden="false" customHeight="false" outlineLevel="0" collapsed="false">
      <c r="A93" s="4" t="n">
        <v>89</v>
      </c>
      <c r="B93" s="5" t="s">
        <v>173</v>
      </c>
      <c r="C93" s="6" t="s">
        <v>184</v>
      </c>
      <c r="D93" s="6" t="s">
        <v>185</v>
      </c>
      <c r="E93" s="7" t="n">
        <v>0.65</v>
      </c>
      <c r="F93" s="4"/>
      <c r="G93" s="8"/>
      <c r="H93" s="8"/>
      <c r="I93" s="8"/>
      <c r="J93" s="6"/>
    </row>
    <row r="94" customFormat="false" ht="15" hidden="false" customHeight="false" outlineLevel="0" collapsed="false">
      <c r="A94" s="4" t="n">
        <v>90</v>
      </c>
      <c r="B94" s="5" t="s">
        <v>173</v>
      </c>
      <c r="C94" s="6" t="s">
        <v>186</v>
      </c>
      <c r="D94" s="6" t="s">
        <v>187</v>
      </c>
      <c r="E94" s="7" t="n">
        <v>0.8</v>
      </c>
      <c r="F94" s="4"/>
      <c r="G94" s="8"/>
      <c r="H94" s="8"/>
      <c r="I94" s="8"/>
      <c r="J94" s="6"/>
    </row>
    <row r="95" customFormat="false" ht="15" hidden="false" customHeight="false" outlineLevel="0" collapsed="false">
      <c r="A95" s="4" t="n">
        <v>91</v>
      </c>
      <c r="B95" s="5" t="s">
        <v>173</v>
      </c>
      <c r="C95" s="6" t="s">
        <v>188</v>
      </c>
      <c r="D95" s="6" t="s">
        <v>189</v>
      </c>
      <c r="E95" s="7" t="n">
        <v>0.07</v>
      </c>
      <c r="F95" s="4" t="s">
        <v>35</v>
      </c>
      <c r="G95" s="8"/>
      <c r="H95" s="8"/>
      <c r="I95" s="8"/>
      <c r="J95" s="6"/>
    </row>
    <row r="96" customFormat="false" ht="23.85" hidden="false" customHeight="false" outlineLevel="0" collapsed="false">
      <c r="A96" s="4" t="n">
        <v>92</v>
      </c>
      <c r="B96" s="5" t="s">
        <v>173</v>
      </c>
      <c r="C96" s="6" t="s">
        <v>190</v>
      </c>
      <c r="D96" s="6" t="s">
        <v>191</v>
      </c>
      <c r="E96" s="7" t="n">
        <v>0.065</v>
      </c>
      <c r="F96" s="4"/>
      <c r="G96" s="8"/>
      <c r="H96" s="8"/>
      <c r="I96" s="8"/>
      <c r="J96" s="6"/>
    </row>
    <row r="97" customFormat="false" ht="23.85" hidden="false" customHeight="false" outlineLevel="0" collapsed="false">
      <c r="A97" s="4" t="n">
        <v>93</v>
      </c>
      <c r="B97" s="5" t="s">
        <v>173</v>
      </c>
      <c r="C97" s="6" t="s">
        <v>192</v>
      </c>
      <c r="D97" s="6" t="s">
        <v>193</v>
      </c>
      <c r="E97" s="7" t="n">
        <v>0.5</v>
      </c>
      <c r="F97" s="4"/>
      <c r="G97" s="8"/>
      <c r="H97" s="8"/>
      <c r="I97" s="8"/>
      <c r="J97" s="6"/>
    </row>
    <row r="98" customFormat="false" ht="23.85" hidden="false" customHeight="false" outlineLevel="0" collapsed="false">
      <c r="A98" s="4" t="n">
        <v>94</v>
      </c>
      <c r="B98" s="5" t="s">
        <v>173</v>
      </c>
      <c r="C98" s="6" t="s">
        <v>194</v>
      </c>
      <c r="D98" s="6" t="s">
        <v>195</v>
      </c>
      <c r="E98" s="7" t="n">
        <v>0.5</v>
      </c>
      <c r="F98" s="4" t="s">
        <v>35</v>
      </c>
      <c r="G98" s="8"/>
      <c r="H98" s="8"/>
      <c r="I98" s="8"/>
      <c r="J98" s="6"/>
    </row>
  </sheetData>
  <autoFilter ref="A4:J98"/>
  <mergeCells count="1">
    <mergeCell ref="A2:J2"/>
  </mergeCells>
  <dataValidations count="2">
    <dataValidation allowBlank="true" errorStyle="stop" operator="between" showDropDown="false" showErrorMessage="false" showInputMessage="false" sqref="F5:F98" type="list">
      <formula1>"да"</formula1>
      <formula2>0</formula2>
    </dataValidation>
    <dataValidation allowBlank="false" errorStyle="stop" operator="between" showDropDown="false" showErrorMessage="false" showInputMessage="false" sqref="B5:B148" type="list">
      <formula1>"Торт,Венский десерт,Пирожное,Набор пирожных,Сладости мучные"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196</v>
      </c>
    </row>
    <row r="3" customFormat="false" ht="15" hidden="false" customHeight="false" outlineLevel="0" collapsed="false">
      <c r="A3" s="10" t="s">
        <v>3</v>
      </c>
      <c r="B3" s="10" t="s">
        <v>197</v>
      </c>
      <c r="C3" s="10" t="s">
        <v>198</v>
      </c>
      <c r="D3" s="10" t="s">
        <v>199</v>
      </c>
    </row>
    <row r="4" customFormat="false" ht="15" hidden="false" customHeight="false" outlineLevel="0" collapsed="false">
      <c r="A4" s="11" t="s">
        <v>12</v>
      </c>
      <c r="B4" s="11" t="n">
        <f aca="false">COUNTIF(Ассортимент!$B$5:$B$98,A4)</f>
        <v>37</v>
      </c>
      <c r="C4" s="11" t="n">
        <f aca="false">COUNTIFS(Ассортимент!$B$5:$B$98,A4,Ассортимент!$F$5:$F$98,"да")</f>
        <v>9</v>
      </c>
      <c r="D4" s="11" t="n">
        <f aca="false">COUNTIFS(Ассортимент!$B$5:$B$98,A4,Ассортимент!$G$5:$G$98,"")</f>
        <v>37</v>
      </c>
    </row>
    <row r="5" customFormat="false" ht="15" hidden="false" customHeight="false" outlineLevel="0" collapsed="false">
      <c r="A5" s="11" t="s">
        <v>87</v>
      </c>
      <c r="B5" s="11" t="n">
        <f aca="false">COUNTIF(Ассортимент!$B$5:$B$98,A5)</f>
        <v>11</v>
      </c>
      <c r="C5" s="11" t="n">
        <f aca="false">COUNTIFS(Ассортимент!$B$5:$B$98,A5,Ассортимент!$F$5:$F$98,"да")</f>
        <v>0</v>
      </c>
      <c r="D5" s="11" t="n">
        <f aca="false">COUNTIFS(Ассортимент!$B$5:$B$98,A5,Ассортимент!$G$5:$G$98,"")</f>
        <v>11</v>
      </c>
    </row>
    <row r="6" customFormat="false" ht="15" hidden="false" customHeight="false" outlineLevel="0" collapsed="false">
      <c r="A6" s="11" t="s">
        <v>110</v>
      </c>
      <c r="B6" s="11" t="n">
        <f aca="false">COUNTIF(Ассортимент!$B$5:$B$98,A6)</f>
        <v>21</v>
      </c>
      <c r="C6" s="11" t="n">
        <f aca="false">COUNTIFS(Ассортимент!$B$5:$B$98,A6,Ассортимент!$F$5:$F$98,"да")</f>
        <v>5</v>
      </c>
      <c r="D6" s="11" t="n">
        <f aca="false">COUNTIFS(Ассортимент!$B$5:$B$98,A6,Ассортимент!$G$5:$G$98,"")</f>
        <v>21</v>
      </c>
    </row>
    <row r="7" customFormat="false" ht="15" hidden="false" customHeight="false" outlineLevel="0" collapsed="false">
      <c r="A7" s="11" t="s">
        <v>151</v>
      </c>
      <c r="B7" s="11" t="n">
        <f aca="false">COUNTIF(Ассортимент!$B$5:$B$98,A7)</f>
        <v>13</v>
      </c>
      <c r="C7" s="11" t="n">
        <f aca="false">COUNTIFS(Ассортимент!$B$5:$B$98,A7,Ассортимент!$F$5:$F$98,"да")</f>
        <v>0</v>
      </c>
      <c r="D7" s="11" t="n">
        <f aca="false">COUNTIFS(Ассортимент!$B$5:$B$98,A7,Ассортимент!$G$5:$G$98,"")</f>
        <v>13</v>
      </c>
    </row>
    <row r="8" customFormat="false" ht="15" hidden="false" customHeight="false" outlineLevel="0" collapsed="false">
      <c r="A8" s="11" t="s">
        <v>173</v>
      </c>
      <c r="B8" s="11" t="n">
        <f aca="false">COUNTIF(Ассортимент!$B$5:$B$98,A8)</f>
        <v>12</v>
      </c>
      <c r="C8" s="11" t="n">
        <f aca="false">COUNTIFS(Ассортимент!$B$5:$B$98,A8,Ассортимент!$F$5:$F$98,"да")</f>
        <v>2</v>
      </c>
      <c r="D8" s="11" t="n">
        <f aca="false">COUNTIFS(Ассортимент!$B$5:$B$98,A8,Ассортимент!$G$5:$G$98,"")</f>
        <v>12</v>
      </c>
    </row>
    <row r="9" customFormat="false" ht="15" hidden="false" customHeight="false" outlineLevel="0" collapsed="false">
      <c r="A9" s="12" t="s">
        <v>200</v>
      </c>
      <c r="B9" s="12" t="n">
        <f aca="false">SUM(B4:B8)</f>
        <v>94</v>
      </c>
      <c r="C9" s="12" t="n">
        <f aca="false">SUM(C4:C8)</f>
        <v>16</v>
      </c>
      <c r="D9" s="12" t="n">
        <f aca="false">SUM(D4:D8)</f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2026-10-16T17:36:33Z</dcterms:created>
  <dc:creator>openpyxl</dc:creator>
  <dc:description/>
  <dc:language>en-US</dc:language>
  <cp:lastModifiedBy/>
  <dcterms:modified xsi:type="dcterms:W3CDTF">2026-10-16T17:36:33Z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